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bhijit document\Data Entry\"/>
    </mc:Choice>
  </mc:AlternateContent>
  <xr:revisionPtr revIDLastSave="0" documentId="13_ncr:1_{1FFF4E91-7023-4A75-BE67-66C93EFF0D61}" xr6:coauthVersionLast="47" xr6:coauthVersionMax="47" xr10:uidLastSave="{00000000-0000-0000-0000-000000000000}"/>
  <bookViews>
    <workbookView xWindow="-108" yWindow="-108" windowWidth="23256" windowHeight="13896" xr2:uid="{4D11FFA0-B71F-4E6F-8499-A0A472C742F7}"/>
  </bookViews>
  <sheets>
    <sheet name="SalesSummary" sheetId="2" r:id="rId1"/>
    <sheet name="SalesData" sheetId="1" r:id="rId2"/>
  </sheets>
  <definedNames>
    <definedName name="_xlnm._FilterDatabase" localSheetId="1" hidden="1">SalesData!$A$1:$G$1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B6" i="2"/>
  <c r="B5" i="2"/>
  <c r="B4" i="2"/>
  <c r="G2" i="1"/>
  <c r="G3" i="1"/>
  <c r="G4" i="1"/>
  <c r="G5" i="1"/>
  <c r="G6" i="1"/>
</calcChain>
</file>

<file path=xl/sharedStrings.xml><?xml version="1.0" encoding="utf-8"?>
<sst xmlns="http://schemas.openxmlformats.org/spreadsheetml/2006/main" count="30" uniqueCount="23">
  <si>
    <t>OrderID</t>
  </si>
  <si>
    <t>Date</t>
  </si>
  <si>
    <t>Product</t>
  </si>
  <si>
    <t>Region</t>
  </si>
  <si>
    <t>Quantity</t>
  </si>
  <si>
    <t>UnitPrice</t>
  </si>
  <si>
    <t>TotalSales</t>
  </si>
  <si>
    <t>Laptop</t>
  </si>
  <si>
    <t>Mumbai</t>
  </si>
  <si>
    <t>Mouse</t>
  </si>
  <si>
    <t>Pune</t>
  </si>
  <si>
    <t>Keyboard</t>
  </si>
  <si>
    <t>Monitor</t>
  </si>
  <si>
    <t>Nashik</t>
  </si>
  <si>
    <t>SALES SUMMARY REPORT</t>
  </si>
  <si>
    <t>Metric</t>
  </si>
  <si>
    <t>Value</t>
  </si>
  <si>
    <t>Total Revenue</t>
  </si>
  <si>
    <t>Total Orders</t>
  </si>
  <si>
    <t>Total Quantity Sold</t>
  </si>
  <si>
    <t>Average Order Value</t>
  </si>
  <si>
    <t>REGION-WISE SALES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</si>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</sst>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?#,##0.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 style="thin">
        <color rgb="FFD2DCE6"/>
      </left>
      <right style="thin">
        <color rgb="FFD2DCE6"/>
      </right>
      <top style="thin">
        <color rgb="FFD2DCE6"/>
      </top>
      <bottom style="thin">
        <color rgb="FFD2DCE6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3" borderId="1" xfId="0" applyFont="1" applyFill="1" applyBorder="1"/>
    <xf numFmtId="0" fontId="0" fillId="0" borderId="1" xfId="0" applyBorder="1"/>
    <xf numFmtId="1" fontId="0" fillId="0" borderId="1" xfId="0" applyNumberFormat="1" applyBorder="1"/>
    <xf numFmtId="0" fontId="3" fillId="2" borderId="0" xfId="0" applyFont="1" applyFill="1" applyAlignment="1">
      <alignment horizontal="center" vertical="center"/>
    </xf>
    <xf numFmtId="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Sales</c:v>
          </c:tx>
          <c:invertIfNegative val="0"/>
          <c:cat>
            <c:strRef>
              <c:f>SalesSummary!$D$4:$D$6</c:f>
              <c:strCache>
                <c:ptCount val="3"/>
                <c:pt idx="0">
                  <c:v>Mumbai</c:v>
                </c:pt>
                <c:pt idx="1">
                  <c:v>Pune</c:v>
                </c:pt>
                <c:pt idx="2">
                  <c:v>Nashik</c:v>
                </c:pt>
              </c:strCache>
            </c:strRef>
          </c:cat>
          <c:val>
            <c:numRef>
              <c:f>SalesSummary!$E$4:$E$6</c:f>
              <c:numCache>
                <c:formatCode>#,##0.00</c:formatCode>
                <c:ptCount val="3"/>
                <c:pt idx="0">
                  <c:v>93600</c:v>
                </c:pt>
                <c:pt idx="1">
                  <c:v>4500</c:v>
                </c:pt>
                <c:pt idx="2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CD4-A8B9-50ACC6D03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4943551"/>
        <c:axId val="737282127"/>
      </c:barChart>
      <c:catAx>
        <c:axId val="13349435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Region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7282127"/>
        <c:crosses val="autoZero"/>
        <c:auto val="1"/>
        <c:lblAlgn val="ctr"/>
        <c:lblOffset val="100"/>
        <c:noMultiLvlLbl val="0"/>
      </c:catAx>
      <c:valAx>
        <c:axId val="7372821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Total Sales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3349435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23</xdr:row>
          <xdr:rowOff>175260</xdr:rowOff>
        </xdr:from>
        <xdr:to>
          <xdr:col>12</xdr:col>
          <xdr:colOff>144780</xdr:colOff>
          <xdr:row>25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SALES REPORTButton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16</xdr:col>
      <xdr:colOff>0</xdr:colOff>
      <xdr:row>22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607CF0A-ADD3-8387-D70F-2C4E8EA90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EBF5-FAD2-42FA-909D-FC9827646B1C}">
  <sheetPr codeName="Sheet2"/>
  <dimension ref="A1:E7"/>
  <sheetViews>
    <sheetView showGridLines="0" tabSelected="1" workbookViewId="0">
      <selection activeCell="R26" sqref="R26"/>
    </sheetView>
  </sheetViews>
  <sheetFormatPr defaultRowHeight="14.4" x14ac:dyDescent="0.3"/>
  <cols>
    <col min="1" max="1" width="25.77734375" customWidth="1"/>
    <col min="2" max="2" width="18.77734375" customWidth="1"/>
    <col min="3" max="3" width="3.77734375" customWidth="1"/>
    <col min="4" max="4" width="22.77734375" customWidth="1"/>
    <col min="5" max="5" width="18.77734375" customWidth="1"/>
  </cols>
  <sheetData>
    <row r="1" spans="1:5" ht="36" customHeight="1" x14ac:dyDescent="0.3">
      <c r="A1" s="4" t="s">
        <v>14</v>
      </c>
      <c r="B1" s="4"/>
      <c r="D1" s="8" t="s">
        <v>21</v>
      </c>
      <c r="E1" s="8"/>
    </row>
    <row r="3" spans="1:5" x14ac:dyDescent="0.3">
      <c r="A3" s="5" t="s">
        <v>15</v>
      </c>
      <c r="B3" s="5" t="s">
        <v>16</v>
      </c>
      <c r="D3" s="5" t="s">
        <v>3</v>
      </c>
      <c r="E3" s="5" t="s">
        <v>22</v>
      </c>
    </row>
    <row r="4" spans="1:5" x14ac:dyDescent="0.3">
      <c r="A4" s="6" t="s">
        <v>17</v>
      </c>
      <c r="B4" s="9">
        <f>SUM(SalesData!G2:G6)</f>
        <v>122100</v>
      </c>
      <c r="D4" s="6" t="s">
        <v>8</v>
      </c>
      <c r="E4" s="9">
        <v>93600</v>
      </c>
    </row>
    <row r="5" spans="1:5" x14ac:dyDescent="0.3">
      <c r="A5" s="6" t="s">
        <v>18</v>
      </c>
      <c r="B5" s="7">
        <f>COUNTA(SalesData!A2:A6)</f>
        <v>5</v>
      </c>
      <c r="D5" s="6" t="s">
        <v>10</v>
      </c>
      <c r="E5" s="9">
        <v>4500</v>
      </c>
    </row>
    <row r="6" spans="1:5" x14ac:dyDescent="0.3">
      <c r="A6" s="6" t="s">
        <v>19</v>
      </c>
      <c r="B6" s="7">
        <f>SUM(SalesData!E2:E6)</f>
        <v>16</v>
      </c>
      <c r="D6" s="6" t="s">
        <v>13</v>
      </c>
      <c r="E6" s="9">
        <v>24000</v>
      </c>
    </row>
    <row r="7" spans="1:5" x14ac:dyDescent="0.3">
      <c r="A7" s="6" t="s">
        <v>20</v>
      </c>
      <c r="B7" s="9">
        <f>IFERROR(AVERAGE(SalesData!G2:G6),0)</f>
        <v>24420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CompleteSalesReport">
                <anchor moveWithCells="1" sizeWithCells="1">
                  <from>
                    <xdr:col>9</xdr:col>
                    <xdr:colOff>190500</xdr:colOff>
                    <xdr:row>23</xdr:row>
                    <xdr:rowOff>175260</xdr:rowOff>
                  </from>
                  <to>
                    <xdr:col>12</xdr:col>
                    <xdr:colOff>144780</xdr:colOff>
                    <xdr:row>25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859F-FEF6-4501-AEB9-AF2E32FAE8F2}">
  <sheetPr codeName="Sheet1"/>
  <dimension ref="A1:G6"/>
  <sheetViews>
    <sheetView workbookViewId="0">
      <selection activeCell="K6" sqref="K6"/>
    </sheetView>
  </sheetViews>
  <sheetFormatPr defaultRowHeight="14.4" x14ac:dyDescent="0.3"/>
  <cols>
    <col min="1" max="1" width="9.77734375" bestFit="1" customWidth="1"/>
    <col min="2" max="2" width="11.21875" bestFit="1" customWidth="1"/>
    <col min="3" max="3" width="9.77734375" bestFit="1" customWidth="1"/>
    <col min="4" max="4" width="8.77734375" bestFit="1" customWidth="1"/>
    <col min="5" max="5" width="10.33203125" bestFit="1" customWidth="1"/>
    <col min="6" max="6" width="11" bestFit="1" customWidth="1"/>
    <col min="7" max="7" width="11.88671875" bestFit="1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">
      <c r="A2">
        <v>1001</v>
      </c>
      <c r="B2" s="2">
        <v>46296</v>
      </c>
      <c r="C2" t="s">
        <v>7</v>
      </c>
      <c r="D2" t="s">
        <v>8</v>
      </c>
      <c r="E2">
        <v>2</v>
      </c>
      <c r="F2" s="3">
        <v>45000</v>
      </c>
      <c r="G2" s="3">
        <f t="shared" ref="G2:G6" si="0">E2*F2</f>
        <v>90000</v>
      </c>
    </row>
    <row r="3" spans="1:7" x14ac:dyDescent="0.3">
      <c r="A3">
        <v>1002</v>
      </c>
      <c r="B3" s="2">
        <v>46297</v>
      </c>
      <c r="C3" t="s">
        <v>9</v>
      </c>
      <c r="D3" t="s">
        <v>10</v>
      </c>
      <c r="E3">
        <v>5</v>
      </c>
      <c r="F3" s="3">
        <v>500</v>
      </c>
      <c r="G3" s="3">
        <f t="shared" si="0"/>
        <v>2500</v>
      </c>
    </row>
    <row r="4" spans="1:7" x14ac:dyDescent="0.3">
      <c r="A4">
        <v>1003</v>
      </c>
      <c r="B4" s="2">
        <v>46298</v>
      </c>
      <c r="C4" t="s">
        <v>11</v>
      </c>
      <c r="D4" t="s">
        <v>8</v>
      </c>
      <c r="E4">
        <v>3</v>
      </c>
      <c r="F4" s="3">
        <v>1200</v>
      </c>
      <c r="G4" s="3">
        <f t="shared" si="0"/>
        <v>3600</v>
      </c>
    </row>
    <row r="5" spans="1:7" x14ac:dyDescent="0.3">
      <c r="A5">
        <v>1004</v>
      </c>
      <c r="B5" s="2">
        <v>46299</v>
      </c>
      <c r="C5" t="s">
        <v>12</v>
      </c>
      <c r="D5" t="s">
        <v>13</v>
      </c>
      <c r="E5">
        <v>2</v>
      </c>
      <c r="F5" s="3">
        <v>12000</v>
      </c>
      <c r="G5" s="3">
        <f t="shared" si="0"/>
        <v>24000</v>
      </c>
    </row>
    <row r="6" spans="1:7" x14ac:dyDescent="0.3">
      <c r="A6">
        <v>1005</v>
      </c>
      <c r="B6" s="2">
        <v>46300</v>
      </c>
      <c r="C6" t="s">
        <v>9</v>
      </c>
      <c r="D6" t="s">
        <v>10</v>
      </c>
      <c r="E6">
        <v>4</v>
      </c>
      <c r="F6" s="3">
        <v>500</v>
      </c>
      <c r="G6" s="3">
        <f t="shared" si="0"/>
        <v>2000</v>
      </c>
    </row>
  </sheetData>
  <autoFilter ref="A1:G1" xr:uid="{B61A859F-FEF6-4501-AEB9-AF2E32FAE8F2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SalesSummary</vt:lpstr>
      <vt:lpstr>SalesData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abhijitsalistekar2002@outlook.com</dc:creator>
  <cp:lastModifiedBy>abhijitsalistekar2002@outlook.com</cp:lastModifiedBy>
  <cp:lastPrinted>2026-10-23T16:42:51Z</cp:lastPrinted>
  <dcterms:created xsi:type="dcterms:W3CDTF">2026-10-23T16:05:11Z</dcterms:created>
  <dcterms:modified xsi:type="dcterms:W3CDTF">2026-10-23T16:49:14Z</dcterms:modified>
</cp:coreProperties>
</file>